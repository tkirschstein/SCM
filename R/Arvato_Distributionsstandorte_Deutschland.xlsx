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_ki\Nextcloud\Lehre\SCM\R_skripte\WLP\"/>
    </mc:Choice>
  </mc:AlternateContent>
  <xr:revisionPtr revIDLastSave="0" documentId="13_ncr:1_{BA6FACFF-07DB-4FA0-98D5-ADAA95D56962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Distributionszentren" sheetId="1" r:id="rId1"/>
    <sheet name="Autowerke" sheetId="2" r:id="rId2"/>
    <sheet name="Distanz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</calcChain>
</file>

<file path=xl/sharedStrings.xml><?xml version="1.0" encoding="utf-8"?>
<sst xmlns="http://schemas.openxmlformats.org/spreadsheetml/2006/main" count="115" uniqueCount="95">
  <si>
    <t>Standort</t>
  </si>
  <si>
    <t>Adresse</t>
  </si>
  <si>
    <t>Breitengrad</t>
  </si>
  <si>
    <t>Längengrad</t>
  </si>
  <si>
    <t>Gütersloh</t>
  </si>
  <si>
    <t>Düren</t>
  </si>
  <si>
    <t>Dorsten/Marl</t>
  </si>
  <si>
    <t>Harsewinkel</t>
  </si>
  <si>
    <t>Langenhagen (Hannover)</t>
  </si>
  <si>
    <t>Hannover-Messe</t>
  </si>
  <si>
    <t>An der Autobahn 2, 33334 Gütersloh</t>
  </si>
  <si>
    <t>Gewerbegebiet bei Düren, NRW</t>
  </si>
  <si>
    <t>Marler Straße 181, 46282 Dorsten</t>
  </si>
  <si>
    <t>Gottlieb-Daimler-Straße 1–7, 33428 Harsewinkel</t>
  </si>
  <si>
    <t>Münchner Straße 46, 30855 Langenhagen</t>
  </si>
  <si>
    <t>Nähe Messegelände Hannover</t>
  </si>
  <si>
    <t>Werksname</t>
  </si>
  <si>
    <t>Ort</t>
  </si>
  <si>
    <t>Volkswagen Wolfsburg</t>
  </si>
  <si>
    <t>Wolfsburg, Niedersachsen</t>
  </si>
  <si>
    <t>Volkswagen Hannover</t>
  </si>
  <si>
    <t>Hannover, Niedersachsen</t>
  </si>
  <si>
    <t>Volkswagen Emden</t>
  </si>
  <si>
    <t>Emden, Niedersachsen</t>
  </si>
  <si>
    <t>Volkswagen Osnabrück</t>
  </si>
  <si>
    <t>Osnabrück, Niedersachsen</t>
  </si>
  <si>
    <t>Mercedes-Benz Bremen</t>
  </si>
  <si>
    <t>Bremen</t>
  </si>
  <si>
    <t>Ford Köln</t>
  </si>
  <si>
    <t>Köln</t>
  </si>
  <si>
    <t>Opel Rüsselsheim</t>
  </si>
  <si>
    <t>Rüsselsheim</t>
  </si>
  <si>
    <t>Volvo Cars Gent</t>
  </si>
  <si>
    <t>Gent, Belgien</t>
  </si>
  <si>
    <t>Volvo Trucks Gent</t>
  </si>
  <si>
    <t>Toyota Motor Europe</t>
  </si>
  <si>
    <t>Zaventem, Belgien</t>
  </si>
  <si>
    <t>VDL Nedcar</t>
  </si>
  <si>
    <t>Born, Niederlande</t>
  </si>
  <si>
    <t>8.4143</t>
  </si>
  <si>
    <t>6.4925</t>
  </si>
  <si>
    <t>6.9635</t>
  </si>
  <si>
    <t>8.2306</t>
  </si>
  <si>
    <t>9.69827</t>
  </si>
  <si>
    <t>9.8053</t>
  </si>
  <si>
    <t>51.895</t>
  </si>
  <si>
    <t>50.8078</t>
  </si>
  <si>
    <t>51.6643</t>
  </si>
  <si>
    <t>51.9621</t>
  </si>
  <si>
    <t>52.45035</t>
  </si>
  <si>
    <t>52.3199</t>
  </si>
  <si>
    <t>10.7796</t>
  </si>
  <si>
    <t>52.4338</t>
  </si>
  <si>
    <t>52.4236</t>
  </si>
  <si>
    <t>53.3687</t>
  </si>
  <si>
    <t>52.2736</t>
  </si>
  <si>
    <t>53.0793</t>
  </si>
  <si>
    <t>50.957</t>
  </si>
  <si>
    <t>49.9896</t>
  </si>
  <si>
    <t>51.0645</t>
  </si>
  <si>
    <t>51.0615</t>
  </si>
  <si>
    <t>51.0315</t>
  </si>
  <si>
    <t>50.887</t>
  </si>
  <si>
    <t>5.8106</t>
  </si>
  <si>
    <t>4.46</t>
  </si>
  <si>
    <t>3.733</t>
  </si>
  <si>
    <t>3.7499</t>
  </si>
  <si>
    <t>8.4196</t>
  </si>
  <si>
    <t>6.8996</t>
  </si>
  <si>
    <t>8.8072</t>
  </si>
  <si>
    <t>8.0472</t>
  </si>
  <si>
    <t>9.6846</t>
  </si>
  <si>
    <t>7.207</t>
  </si>
  <si>
    <t>Batteriebedarf (MWh/Jahr)</t>
  </si>
  <si>
    <t>Rüstkosten (1000 €)</t>
  </si>
  <si>
    <t>d_ij </t>
  </si>
  <si>
    <t>C1</t>
  </si>
  <si>
    <t>C2</t>
  </si>
  <si>
    <t>C3</t>
  </si>
  <si>
    <t>C4</t>
  </si>
  <si>
    <t>C5</t>
  </si>
  <si>
    <t>C6</t>
  </si>
  <si>
    <t>C7</t>
  </si>
  <si>
    <t>C8 </t>
  </si>
  <si>
    <t>C9</t>
  </si>
  <si>
    <t>C10</t>
  </si>
  <si>
    <t>C11</t>
  </si>
  <si>
    <t>L1</t>
  </si>
  <si>
    <t>L2</t>
  </si>
  <si>
    <t>L3</t>
  </si>
  <si>
    <t>L4</t>
  </si>
  <si>
    <t>L5</t>
  </si>
  <si>
    <t>L6</t>
  </si>
  <si>
    <t>ID</t>
  </si>
  <si>
    <t>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</si>
</sst>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D7" sqref="D2:D7"/>
    </sheetView>
  </sheetViews>
  <sheetFormatPr baseColWidth="10" defaultColWidth="9.140625" defaultRowHeight="15" x14ac:dyDescent="0.25"/>
  <cols>
    <col min="3" max="3" width="0" hidden="1" customWidth="1"/>
  </cols>
  <sheetData>
    <row r="1" spans="1:14" x14ac:dyDescent="0.25">
      <c r="A1" t="s">
        <v>93</v>
      </c>
      <c r="B1" s="1" t="s">
        <v>0</v>
      </c>
      <c r="C1" s="1" t="s">
        <v>1</v>
      </c>
      <c r="D1" s="1" t="s">
        <v>3</v>
      </c>
      <c r="E1" s="1" t="s">
        <v>2</v>
      </c>
      <c r="F1" s="1" t="s">
        <v>74</v>
      </c>
    </row>
    <row r="2" spans="1:14" x14ac:dyDescent="0.25">
      <c r="A2" t="s">
        <v>87</v>
      </c>
      <c r="B2" t="s">
        <v>4</v>
      </c>
      <c r="C2" t="s">
        <v>10</v>
      </c>
      <c r="D2" s="2" t="s">
        <v>39</v>
      </c>
      <c r="E2" s="2" t="s">
        <v>45</v>
      </c>
      <c r="F2">
        <v>450</v>
      </c>
      <c r="G2">
        <f>F2*1000</f>
        <v>450000</v>
      </c>
    </row>
    <row r="3" spans="1:14" x14ac:dyDescent="0.25">
      <c r="A3" t="s">
        <v>88</v>
      </c>
      <c r="B3" t="s">
        <v>5</v>
      </c>
      <c r="C3" t="s">
        <v>11</v>
      </c>
      <c r="D3" s="2" t="s">
        <v>40</v>
      </c>
      <c r="E3" s="2" t="s">
        <v>46</v>
      </c>
      <c r="F3">
        <v>480</v>
      </c>
      <c r="G3">
        <f t="shared" ref="G3:G7" si="0">F3*1000</f>
        <v>480000</v>
      </c>
      <c r="I3">
        <v>450000</v>
      </c>
      <c r="J3">
        <v>480000</v>
      </c>
      <c r="K3">
        <v>520000</v>
      </c>
      <c r="L3">
        <v>470000</v>
      </c>
      <c r="M3">
        <v>510000</v>
      </c>
      <c r="N3">
        <v>460000</v>
      </c>
    </row>
    <row r="4" spans="1:14" x14ac:dyDescent="0.25">
      <c r="A4" t="s">
        <v>89</v>
      </c>
      <c r="B4" t="s">
        <v>6</v>
      </c>
      <c r="C4" t="s">
        <v>12</v>
      </c>
      <c r="D4" s="2" t="s">
        <v>41</v>
      </c>
      <c r="E4" s="2" t="s">
        <v>47</v>
      </c>
      <c r="F4">
        <v>520</v>
      </c>
      <c r="G4">
        <f t="shared" si="0"/>
        <v>520000</v>
      </c>
    </row>
    <row r="5" spans="1:14" x14ac:dyDescent="0.25">
      <c r="A5" t="s">
        <v>90</v>
      </c>
      <c r="B5" t="s">
        <v>7</v>
      </c>
      <c r="C5" t="s">
        <v>13</v>
      </c>
      <c r="D5" s="2" t="s">
        <v>42</v>
      </c>
      <c r="E5" s="2" t="s">
        <v>48</v>
      </c>
      <c r="F5">
        <v>470</v>
      </c>
      <c r="G5">
        <f t="shared" si="0"/>
        <v>470000</v>
      </c>
    </row>
    <row r="6" spans="1:14" x14ac:dyDescent="0.25">
      <c r="A6" t="s">
        <v>91</v>
      </c>
      <c r="B6" t="s">
        <v>8</v>
      </c>
      <c r="C6" t="s">
        <v>14</v>
      </c>
      <c r="D6" s="2" t="s">
        <v>43</v>
      </c>
      <c r="E6" s="2" t="s">
        <v>49</v>
      </c>
      <c r="F6">
        <v>510</v>
      </c>
      <c r="G6">
        <f t="shared" si="0"/>
        <v>510000</v>
      </c>
    </row>
    <row r="7" spans="1:14" x14ac:dyDescent="0.25">
      <c r="A7" t="s">
        <v>92</v>
      </c>
      <c r="B7" t="s">
        <v>9</v>
      </c>
      <c r="C7" t="s">
        <v>15</v>
      </c>
      <c r="D7" s="2" t="s">
        <v>44</v>
      </c>
      <c r="E7" s="2" t="s">
        <v>50</v>
      </c>
      <c r="F7">
        <v>460</v>
      </c>
      <c r="G7">
        <f t="shared" si="0"/>
        <v>460000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B8D8-9760-4D8C-8748-939561024FA0}">
  <dimension ref="A1:R12"/>
  <sheetViews>
    <sheetView workbookViewId="0">
      <selection activeCell="D2" sqref="D2:D12"/>
    </sheetView>
  </sheetViews>
  <sheetFormatPr baseColWidth="10" defaultColWidth="11.42578125" defaultRowHeight="15" x14ac:dyDescent="0.25"/>
  <cols>
    <col min="1" max="16384" width="11.42578125" style="2"/>
  </cols>
  <sheetData>
    <row r="1" spans="1:18" x14ac:dyDescent="0.25">
      <c r="A1" s="2" t="s">
        <v>93</v>
      </c>
      <c r="B1" s="3" t="s">
        <v>16</v>
      </c>
      <c r="C1" s="3" t="s">
        <v>17</v>
      </c>
      <c r="D1" s="3" t="s">
        <v>3</v>
      </c>
      <c r="E1" s="3" t="s">
        <v>2</v>
      </c>
      <c r="F1" s="1" t="s">
        <v>73</v>
      </c>
    </row>
    <row r="2" spans="1:18" x14ac:dyDescent="0.25">
      <c r="A2" s="2" t="s">
        <v>76</v>
      </c>
      <c r="B2" s="2" t="s">
        <v>18</v>
      </c>
      <c r="C2" s="2" t="s">
        <v>19</v>
      </c>
      <c r="D2" s="2" t="s">
        <v>51</v>
      </c>
      <c r="E2" s="2" t="s">
        <v>52</v>
      </c>
      <c r="F2">
        <v>25000</v>
      </c>
    </row>
    <row r="3" spans="1:18" x14ac:dyDescent="0.25">
      <c r="A3" s="2" t="s">
        <v>77</v>
      </c>
      <c r="B3" s="2" t="s">
        <v>20</v>
      </c>
      <c r="C3" s="2" t="s">
        <v>21</v>
      </c>
      <c r="D3" s="2" t="s">
        <v>71</v>
      </c>
      <c r="E3" s="2" t="s">
        <v>53</v>
      </c>
      <c r="F3">
        <v>15000</v>
      </c>
      <c r="H3" s="2">
        <v>25000</v>
      </c>
      <c r="I3" s="2">
        <v>15000</v>
      </c>
      <c r="J3" s="2">
        <v>18000</v>
      </c>
      <c r="K3" s="2">
        <v>12000</v>
      </c>
      <c r="L3" s="2">
        <v>20000</v>
      </c>
      <c r="M3" s="2">
        <v>22000</v>
      </c>
      <c r="N3" s="2">
        <v>21000</v>
      </c>
      <c r="O3" s="2">
        <v>19000</v>
      </c>
      <c r="P3" s="2">
        <v>17000</v>
      </c>
      <c r="Q3" s="2">
        <v>16000</v>
      </c>
      <c r="R3" s="2">
        <v>15000</v>
      </c>
    </row>
    <row r="4" spans="1:18" x14ac:dyDescent="0.25">
      <c r="A4" s="2" t="s">
        <v>78</v>
      </c>
      <c r="B4" s="2" t="s">
        <v>22</v>
      </c>
      <c r="C4" s="2" t="s">
        <v>23</v>
      </c>
      <c r="D4" s="2" t="s">
        <v>72</v>
      </c>
      <c r="E4" s="2" t="s">
        <v>54</v>
      </c>
      <c r="F4">
        <v>18000</v>
      </c>
    </row>
    <row r="5" spans="1:18" x14ac:dyDescent="0.25">
      <c r="A5" s="2" t="s">
        <v>79</v>
      </c>
      <c r="B5" s="2" t="s">
        <v>24</v>
      </c>
      <c r="C5" s="2" t="s">
        <v>25</v>
      </c>
      <c r="D5" s="2" t="s">
        <v>70</v>
      </c>
      <c r="E5" s="2" t="s">
        <v>55</v>
      </c>
      <c r="F5">
        <v>12000</v>
      </c>
    </row>
    <row r="6" spans="1:18" x14ac:dyDescent="0.25">
      <c r="A6" s="2" t="s">
        <v>80</v>
      </c>
      <c r="B6" s="2" t="s">
        <v>26</v>
      </c>
      <c r="C6" s="2" t="s">
        <v>27</v>
      </c>
      <c r="D6" s="2" t="s">
        <v>69</v>
      </c>
      <c r="E6" s="2" t="s">
        <v>56</v>
      </c>
      <c r="F6">
        <v>20000</v>
      </c>
    </row>
    <row r="7" spans="1:18" x14ac:dyDescent="0.25">
      <c r="A7" s="2" t="s">
        <v>81</v>
      </c>
      <c r="B7" s="2" t="s">
        <v>28</v>
      </c>
      <c r="C7" s="2" t="s">
        <v>29</v>
      </c>
      <c r="D7" s="2" t="s">
        <v>68</v>
      </c>
      <c r="E7" s="2" t="s">
        <v>57</v>
      </c>
      <c r="F7">
        <v>22000</v>
      </c>
    </row>
    <row r="8" spans="1:18" x14ac:dyDescent="0.25">
      <c r="A8" s="2" t="s">
        <v>82</v>
      </c>
      <c r="B8" s="2" t="s">
        <v>30</v>
      </c>
      <c r="C8" s="2" t="s">
        <v>31</v>
      </c>
      <c r="D8" s="2" t="s">
        <v>67</v>
      </c>
      <c r="E8" s="2" t="s">
        <v>58</v>
      </c>
      <c r="F8">
        <v>21000</v>
      </c>
    </row>
    <row r="9" spans="1:18" x14ac:dyDescent="0.25">
      <c r="A9" s="2" t="s">
        <v>94</v>
      </c>
      <c r="B9" s="2" t="s">
        <v>32</v>
      </c>
      <c r="C9" s="2" t="s">
        <v>33</v>
      </c>
      <c r="D9" s="2" t="s">
        <v>66</v>
      </c>
      <c r="E9" s="2" t="s">
        <v>59</v>
      </c>
      <c r="F9">
        <v>19000</v>
      </c>
    </row>
    <row r="10" spans="1:18" x14ac:dyDescent="0.25">
      <c r="A10" s="2" t="s">
        <v>84</v>
      </c>
      <c r="B10" s="2" t="s">
        <v>34</v>
      </c>
      <c r="C10" s="2" t="s">
        <v>33</v>
      </c>
      <c r="D10" s="2" t="s">
        <v>65</v>
      </c>
      <c r="E10" s="2" t="s">
        <v>60</v>
      </c>
      <c r="F10">
        <v>17000</v>
      </c>
    </row>
    <row r="11" spans="1:18" x14ac:dyDescent="0.25">
      <c r="A11" s="2" t="s">
        <v>85</v>
      </c>
      <c r="B11" s="2" t="s">
        <v>35</v>
      </c>
      <c r="C11" s="2" t="s">
        <v>36</v>
      </c>
      <c r="D11" s="2" t="s">
        <v>64</v>
      </c>
      <c r="E11" s="2" t="s">
        <v>62</v>
      </c>
      <c r="F11">
        <v>16000</v>
      </c>
    </row>
    <row r="12" spans="1:18" x14ac:dyDescent="0.25">
      <c r="A12" s="2" t="s">
        <v>86</v>
      </c>
      <c r="B12" s="2" t="s">
        <v>37</v>
      </c>
      <c r="C12" s="2" t="s">
        <v>38</v>
      </c>
      <c r="D12" s="2" t="s">
        <v>63</v>
      </c>
      <c r="E12" s="2" t="s">
        <v>61</v>
      </c>
      <c r="F12">
        <v>15000</v>
      </c>
    </row>
  </sheetData>
  <phoneticPr fontId="2" type="noConversion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F398-224A-47E9-B219-29C3A76F440E}">
  <dimension ref="A1:L7"/>
  <sheetViews>
    <sheetView workbookViewId="0">
      <selection activeCell="C51" sqref="C51"/>
    </sheetView>
  </sheetViews>
  <sheetFormatPr baseColWidth="10" defaultRowHeight="15" x14ac:dyDescent="0.25"/>
  <sheetData>
    <row r="1" spans="1:12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</row>
    <row r="2" spans="1:12" x14ac:dyDescent="0.25">
      <c r="A2" t="s">
        <v>87</v>
      </c>
      <c r="B2">
        <v>211</v>
      </c>
      <c r="C2">
        <v>121</v>
      </c>
      <c r="D2">
        <v>281</v>
      </c>
      <c r="E2">
        <v>70</v>
      </c>
      <c r="F2">
        <v>201</v>
      </c>
      <c r="G2">
        <v>171</v>
      </c>
      <c r="H2">
        <v>312</v>
      </c>
      <c r="I2">
        <v>382</v>
      </c>
      <c r="J2">
        <v>383</v>
      </c>
      <c r="K2">
        <v>362</v>
      </c>
      <c r="L2">
        <v>252</v>
      </c>
    </row>
    <row r="3" spans="1:12" x14ac:dyDescent="0.25">
      <c r="A3" t="s">
        <v>88</v>
      </c>
      <c r="B3">
        <v>415</v>
      </c>
      <c r="C3">
        <v>325</v>
      </c>
      <c r="D3">
        <v>367</v>
      </c>
      <c r="E3">
        <v>239</v>
      </c>
      <c r="F3">
        <v>353</v>
      </c>
      <c r="G3">
        <v>44</v>
      </c>
      <c r="H3">
        <v>221</v>
      </c>
      <c r="I3">
        <v>226</v>
      </c>
      <c r="J3">
        <v>227</v>
      </c>
      <c r="K3">
        <v>168</v>
      </c>
      <c r="L3">
        <v>72</v>
      </c>
    </row>
    <row r="4" spans="1:12" x14ac:dyDescent="0.25">
      <c r="A4" t="s">
        <v>89</v>
      </c>
      <c r="B4">
        <v>341</v>
      </c>
      <c r="C4">
        <v>251</v>
      </c>
      <c r="D4">
        <v>234</v>
      </c>
      <c r="E4">
        <v>117</v>
      </c>
      <c r="F4">
        <v>231</v>
      </c>
      <c r="G4">
        <v>98</v>
      </c>
      <c r="H4">
        <v>264</v>
      </c>
      <c r="I4">
        <v>273</v>
      </c>
      <c r="J4">
        <v>274</v>
      </c>
      <c r="K4">
        <v>254</v>
      </c>
      <c r="L4">
        <v>144</v>
      </c>
    </row>
    <row r="5" spans="1:12" x14ac:dyDescent="0.25">
      <c r="A5" t="s">
        <v>90</v>
      </c>
      <c r="B5">
        <v>231</v>
      </c>
      <c r="C5">
        <v>140</v>
      </c>
      <c r="D5">
        <v>255</v>
      </c>
      <c r="E5">
        <v>45</v>
      </c>
      <c r="F5">
        <v>175</v>
      </c>
      <c r="G5">
        <v>178</v>
      </c>
      <c r="H5">
        <v>332</v>
      </c>
      <c r="I5">
        <v>389</v>
      </c>
      <c r="J5">
        <v>390</v>
      </c>
      <c r="K5">
        <v>369</v>
      </c>
      <c r="L5">
        <v>259</v>
      </c>
    </row>
    <row r="6" spans="1:12" x14ac:dyDescent="0.25">
      <c r="A6" t="s">
        <v>91</v>
      </c>
      <c r="B6">
        <v>92</v>
      </c>
      <c r="C6">
        <v>6</v>
      </c>
      <c r="D6">
        <v>244</v>
      </c>
      <c r="E6">
        <v>136</v>
      </c>
      <c r="F6">
        <v>121</v>
      </c>
      <c r="G6">
        <v>289</v>
      </c>
      <c r="H6">
        <v>383</v>
      </c>
      <c r="I6">
        <v>499</v>
      </c>
      <c r="J6">
        <v>501</v>
      </c>
      <c r="K6">
        <v>480</v>
      </c>
      <c r="L6">
        <v>370</v>
      </c>
    </row>
    <row r="7" spans="1:12" x14ac:dyDescent="0.25">
      <c r="A7" t="s">
        <v>92</v>
      </c>
      <c r="B7">
        <v>91</v>
      </c>
      <c r="C7">
        <v>18</v>
      </c>
      <c r="D7">
        <v>263</v>
      </c>
      <c r="E7">
        <v>160</v>
      </c>
      <c r="F7">
        <v>140</v>
      </c>
      <c r="G7">
        <v>313</v>
      </c>
      <c r="H7">
        <v>360</v>
      </c>
      <c r="I7">
        <v>524</v>
      </c>
      <c r="J7">
        <v>525</v>
      </c>
      <c r="K7">
        <v>504</v>
      </c>
      <c r="L7">
        <v>394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Distributionszentren</vt:lpstr>
      <vt:lpstr>Autowerke</vt:lpstr>
      <vt:lpstr>Distanzen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Kirschstein, Thomas</cp:lastModifiedBy>
  <dcterms:created xsi:type="dcterms:W3CDTF">2025-05-06T19:17:58Z</dcterms:created>
  <dcterms:modified xsi:type="dcterms:W3CDTF">2025-05-08T08:17:13Z</dcterms:modified>
</cp:coreProperties>
</file>